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cuments\Real Estate freelance project models (samples)\Completed project 1\"/>
    </mc:Choice>
  </mc:AlternateContent>
  <bookViews>
    <workbookView xWindow="0" yWindow="0" windowWidth="20490" windowHeight="7500"/>
  </bookViews>
  <sheets>
    <sheet name="Property Comparison" sheetId="1" r:id="rId1"/>
    <sheet name="Read Me" sheetId="2" r:id="rId2"/>
    <sheet name="Sources &amp; QA" sheetId="3" r:id="rId3"/>
  </sheets>
  <definedNames>
    <definedName name="_xlnm._FilterDatabase" localSheetId="0" hidden="1">'Property Comparison'!$A$4:$N$7</definedName>
  </definedNames>
  <calcPr calcId="162913" forceFullCalc="1"/>
</workbook>
</file>

<file path=xl/calcChain.xml><?xml version="1.0" encoding="utf-8"?>
<calcChain xmlns="http://schemas.openxmlformats.org/spreadsheetml/2006/main">
  <c r="B12" i="1" l="1"/>
  <c r="B11" i="1"/>
  <c r="M7" i="1"/>
  <c r="L7" i="1"/>
  <c r="M6" i="1"/>
  <c r="L6" i="1"/>
  <c r="M5" i="1"/>
  <c r="L5" i="1"/>
  <c r="B14" i="1" l="1"/>
  <c r="B13" i="1"/>
</calcChain>
</file>

<file path=xl/comments1.xml><?xml version="1.0" encoding="utf-8"?>
<comments xmlns="http://schemas.openxmlformats.org/spreadsheetml/2006/main">
  <authors>
    <author>Lenovo</author>
    <author>Dilanka Jayananda</author>
  </authors>
  <commentList>
    <comment ref="E5" authorId="0" shapeId="0">
      <text>
        <r>
          <rPr>
            <b/>
            <sz val="9"/>
            <color indexed="81"/>
            <rFont val="Tahoma"/>
            <charset val="1"/>
          </rPr>
          <t>Dilanka Jayananda:
ASKING PRICE DISCREPANCY
LoopNet property page: $1,650,000
Marketing flyer headline: $1,800,000
Marketing flyer text: $1,900,000
The sources display three different asking prices. The correct asking price has not been established. Broker confirmation is required before relying on the price in any investment analysis.</t>
        </r>
      </text>
    </comment>
    <comment ref="G5" authorId="1" shapeId="0">
      <text>
        <r>
          <rPr>
            <b/>
            <sz val="9"/>
            <color indexed="81"/>
            <rFont val="Tahoma"/>
            <charset val="1"/>
          </rPr>
          <t>Dilanka Jayananda:</t>
        </r>
        <r>
          <rPr>
            <sz val="9"/>
            <color indexed="81"/>
            <rFont val="Tahoma"/>
            <charset val="1"/>
          </rPr>
          <t xml:space="preserve">
BUILDING AREA DISCREPANCY
LoopNet property page: 8,100 SF
Marketing flyer: 8,000 SF
The two sources report different building areas. The correct figure has not been established. Confirm the building area with the broker or supporting property records before relying on it in comparative analysis.</t>
        </r>
      </text>
    </comment>
    <comment ref="F7" authorId="0" shapeId="0">
      <text>
        <r>
          <rPr>
            <b/>
            <sz val="9"/>
            <color indexed="81"/>
            <rFont val="Tahoma"/>
            <charset val="1"/>
          </rPr>
          <t xml:space="preserve">Dilanka Jayananda: The LoopNet listing headline reports 5 units, while the offering memorandum describes the property as a triplex (3 units). The comparison uses 3 units based on the offering memorandum. The discrepancy remains documented; confirm directly with the broker before relying on the unit count.
</t>
        </r>
      </text>
    </comment>
  </commentList>
</comments>
</file>

<file path=xl/sharedStrings.xml><?xml version="1.0" encoding="utf-8"?>
<sst xmlns="http://schemas.openxmlformats.org/spreadsheetml/2006/main" count="96" uniqueCount="84">
  <si>
    <t>PHOENIX, ARIZONA | MULTIFAMILY LISTING COMPARISON</t>
  </si>
  <si>
    <t>Corrected practice sample • Listing status must be reconfirmed • Not an appraisal or investment recommendation</t>
  </si>
  <si>
    <t>Property / Address</t>
  </si>
  <si>
    <t>City</t>
  </si>
  <si>
    <t>State</t>
  </si>
  <si>
    <t>ZIP</t>
  </si>
  <si>
    <t>Asking Price ($)</t>
  </si>
  <si>
    <t>Units</t>
  </si>
  <si>
    <t>Building Area (SF)</t>
  </si>
  <si>
    <t>Year Built</t>
  </si>
  <si>
    <t>Lot Size (Acres)</t>
  </si>
  <si>
    <t>Advertised Cap Rate</t>
  </si>
  <si>
    <t>Asking Price / Unit ($)</t>
  </si>
  <si>
    <t>Asking Price / SF ($)</t>
  </si>
  <si>
    <t>Occupancy / Status Notes</t>
  </si>
  <si>
    <t>3044–3048 E Beck Rd</t>
  </si>
  <si>
    <t>Phoenix</t>
  </si>
  <si>
    <t>AZ</t>
  </si>
  <si>
    <t>85032</t>
  </si>
  <si>
    <t>Listing page displays asking price; confirm current availability with broker.</t>
  </si>
  <si>
    <t>2301 W Hayward Ave</t>
  </si>
  <si>
    <t>85021</t>
  </si>
  <si>
    <t>Corrected to $839,900 per user's screenshot; confirm current availability.</t>
  </si>
  <si>
    <t>4711 N 15th Ave</t>
  </si>
  <si>
    <t>85015</t>
  </si>
  <si>
    <t>Listing page displays $850,000 and 3.48% cap rate; both are listing-reported, not independently verified.</t>
  </si>
  <si>
    <t>Quick metrics</t>
  </si>
  <si>
    <t>IMPORTANT LIMITATIONS</t>
  </si>
  <si>
    <t>Listings included</t>
  </si>
  <si>
    <t>2444 E Willetta St removed from the comparison because its page says it is not currently advertised.</t>
  </si>
  <si>
    <t>Total units represented</t>
  </si>
  <si>
    <t>2301 W Hayward Ave asking price corrected to $839,900 based on the user's screenshot.</t>
  </si>
  <si>
    <t>Lowest asking price / unit</t>
  </si>
  <si>
    <t>A visible listing page does not prove a property is currently available. Confirm with the broker.</t>
  </si>
  <si>
    <t>Highest asking price / unit</t>
  </si>
  <si>
    <t>Price/unit and price/SF are calculated from listing-reported figures, not verified sale or valuation data.</t>
  </si>
  <si>
    <t>PROJECT NOTES &amp; METHODOLOGY</t>
  </si>
  <si>
    <t>Purpose</t>
  </si>
  <si>
    <t>Independent practice sample demonstrating collection, sourcing, organization, and comparison of public multifamily listing information.</t>
  </si>
  <si>
    <t>Market</t>
  </si>
  <si>
    <t>Phoenix, Arizona.</t>
  </si>
  <si>
    <t>Research date</t>
  </si>
  <si>
    <t>October 13, 2026.</t>
  </si>
  <si>
    <t>Included properties</t>
  </si>
  <si>
    <t>3044–3048 E Beck Rd; 2301 W Hayward Ave; 4711 N 15th Ave.</t>
  </si>
  <si>
    <t>Removed property</t>
  </si>
  <si>
    <t>2444 E Willetta St was removed because the screenshot says the listing is not currently being advertised.</t>
  </si>
  <si>
    <t>Corrected price</t>
  </si>
  <si>
    <t>2301 W Hayward Ave set to $839,900 based on the user's screenshot; prior workbook value of $850,000 was incorrect.</t>
  </si>
  <si>
    <t>Calculated metrics</t>
  </si>
  <si>
    <t>Asking price per unit = asking price divided by units. Asking price per SF = asking price divided by building area.</t>
  </si>
  <si>
    <t>Data limitations</t>
  </si>
  <si>
    <t>Portfolio disclosure</t>
  </si>
  <si>
    <t>Label this as an independent practice project based on public listing information. Do not represent it as client work or an appraisal.</t>
  </si>
  <si>
    <t>SOURCE REGISTER &amp; QUALITY CHECKS</t>
  </si>
  <si>
    <t>Property</t>
  </si>
  <si>
    <t>Publisher</t>
  </si>
  <si>
    <t>Source URL</t>
  </si>
  <si>
    <t>Data Captured</t>
  </si>
  <si>
    <t>Caveat / QA</t>
  </si>
  <si>
    <t>LoopNet</t>
  </si>
  <si>
    <t>https://www.loopnet.com/Listing/3044-3048-E-Beck-Rd-Phoenix-AZ/38493280/</t>
  </si>
  <si>
    <t>Price $1,650,000; 8 units; 8,100 SF; year 1983; lot 0.36 acres</t>
  </si>
  <si>
    <t>Screenshot shows listing page and price; current status not confirmed.</t>
  </si>
  <si>
    <t>https://www.loopnet.com/Listing/2301-W-Hayward-Ave-Phoenix-AZ/41809073/</t>
  </si>
  <si>
    <t>Price $839,900; 3 units; 4,570 SF; year 1980; lot 0.82 acres</t>
  </si>
  <si>
    <t>Price corrected from user's screenshot; current status not confirmed.</t>
  </si>
  <si>
    <t>https://www.loopnet.com/Listing/4711-N-15th-Ave-Phoenix-AZ/39907432/</t>
  </si>
  <si>
    <t>QUALITY CHECKLIST</t>
  </si>
  <si>
    <t>Inactive listing removed from active comparison</t>
  </si>
  <si>
    <t>PASS</t>
  </si>
  <si>
    <t>Hayward asking price corrected to screenshot</t>
  </si>
  <si>
    <t>Source URL provided for each included listing</t>
  </si>
  <si>
    <t>Current listing availability reconfirmed with broker</t>
  </si>
  <si>
    <t>NOT YET</t>
  </si>
  <si>
    <t>County assessor / recorder data checked</t>
  </si>
  <si>
    <t>Offering memorandum / rent roll reviewed</t>
  </si>
  <si>
    <t>Year Renovated</t>
  </si>
  <si>
    <t>4711 N 15th Ave: Property Facts reports 5 units, while Investment Highlights describe a triplex. Unit count requires broker confirmation.</t>
  </si>
  <si>
    <t>REVIEWED</t>
  </si>
  <si>
    <t>Unit-count conflict: LoopNet reports 5 units, while the offering memorandum describes a triplex (3 units). Used 3 units provisionally based on the offering memorandum; confirm with broker. Cap-rate arithmetic cross-checked against broker-reported figures; underlying income and expenses not independently verified.</t>
  </si>
  <si>
    <t>Price $850,000; 3 units per offering memorandum; 2,034 SF; year built 1957; renovated 2020; lot 0.22 acres; advertised cap rate 3.48%; reported NOI $29,563.77 based on offering memorandum pro forma.</t>
  </si>
  <si>
    <t>Listing data has not been independently verified against public records. Current availability, ownership, taxes, occupancy, and underlying income and expenses have not been independently verified. The advertised cap rate was mathematically cross-checked using figures reported in the offering memorandum.</t>
  </si>
  <si>
    <t>PURPOSE AND DISCLAIMER
Purpose
This workbook is an illustrative commercial real estate research sample demonstrating property listing comparison, data organization, source documentation, and quality assurance using Excel.
How to Use
- Review the Property Comparison sheet to compare the selected multifamily listings.
- Refer to Sources &amp; QA for source links, captured property information, caveats, and outstanding verification checks.
- Review all notes before relying on any property figure.
Data Limitations
Property information is based on publicly available listing materials and the offering memorandum reviewed for this sample. Some figures are listing-reported and have not been independently verified. Listing availability and property details may change.
Where source information conflicts, the discrepancy is documented rather than silently resolved. Outstanding verification items are identified in the Sources &amp; QA sheet.
Important Notice
ILLUSTRATIVE SAMPLE — FOR DEMONSTRATION PURPOSES ONLY.
This workbook is not an appraisal, investment recommendation, formal due diligence report, or independently verified investment analysis. It should not be relied upon to make an investment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</si>
</sst>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00"/>
  </numFmts>
  <fonts count="10" x14ac:knownFonts="1">
    <font>
      <sz val="11"/>
      <color theme="1"/>
      <name val="Calibri"/>
      <family val="2"/>
      <scheme val="minor"/>
    </font>
    <font>
      <b/>
      <sz val="16"/>
      <color rgb="FFFFFFFF"/>
      <name val="Calibri"/>
    </font>
    <font>
      <i/>
      <sz val="11"/>
      <color rgb="FF666666"/>
      <name val="Calibri"/>
    </font>
    <font>
      <b/>
      <sz val="11"/>
      <color rgb="FFFFFFFF"/>
      <name val="Calibri"/>
    </font>
    <font>
      <b/>
      <sz val="11"/>
      <name val="Calibri"/>
    </font>
    <font>
      <b/>
      <sz val="11"/>
      <color rgb="FF1F4E78"/>
      <name val="Calibri"/>
    </font>
    <font>
      <sz val="12"/>
      <color theme="10"/>
      <name val="Calibri"/>
      <family val="2"/>
      <scheme val="minor"/>
    </font>
    <font>
      <sz val="11"/>
      <color theme="0"/>
      <name val="Calibri"/>
      <family val="2"/>
      <scheme val="minor"/>
    </font>
    <font>
      <sz val="9"/>
      <color indexed="81"/>
      <name val="Tahoma"/>
      <charset val="1"/>
    </font>
    <font>
      <b/>
      <sz val="9"/>
      <color indexed="81"/>
      <name val="Tahoma"/>
      <charset val="1"/>
    </font>
  </fonts>
  <fills count="8">
    <fill>
      <patternFill patternType="none"/>
    </fill>
    <fill>
      <patternFill patternType="gray125"/>
    </fill>
    <fill>
      <patternFill patternType="solid">
        <fgColor rgb="FF17365D"/>
      </patternFill>
    </fill>
    <fill>
      <patternFill patternType="solid">
        <fgColor rgb="FF1F4E78"/>
      </patternFill>
    </fill>
    <fill>
      <patternFill patternType="solid">
        <fgColor rgb="FFF3F6F9"/>
      </patternFill>
    </fill>
    <fill>
      <patternFill patternType="solid">
        <fgColor rgb="FFD9EAF7"/>
      </patternFill>
    </fill>
    <fill>
      <patternFill patternType="solid">
        <fgColor rgb="FFFFF2CC"/>
      </patternFill>
    </fill>
    <fill>
      <patternFill patternType="solid">
        <fgColor rgb="FFE2F0D9"/>
      </patternFill>
    </fill>
  </fills>
  <borders count="2">
    <border>
      <left/>
      <right/>
      <top/>
      <bottom/>
      <diagonal/>
    </border>
    <border>
      <left/>
      <right/>
      <top/>
      <bottom style="thin">
        <color rgb="FFD9E1F2"/>
      </bottom>
      <diagonal/>
    </border>
  </borders>
  <cellStyleXfs count="2">
    <xf numFmtId="0" fontId="0" fillId="0" borderId="0"/>
    <xf numFmtId="0" fontId="6" fillId="0" borderId="0"/>
  </cellStyleXfs>
  <cellXfs count="35">
    <xf numFmtId="0" fontId="0" fillId="0" borderId="0" xfId="0"/>
    <xf numFmtId="0" fontId="3" fillId="3" borderId="0" xfId="0" applyFont="1" applyFill="1" applyAlignment="1">
      <alignment vertical="center" wrapText="1"/>
    </xf>
    <xf numFmtId="0" fontId="0" fillId="0" borderId="1" xfId="0" applyBorder="1" applyAlignment="1">
      <alignment vertical="top" wrapText="1"/>
    </xf>
    <xf numFmtId="0" fontId="0" fillId="0" borderId="1" xfId="0" applyBorder="1" applyAlignment="1">
      <alignment vertical="top"/>
    </xf>
    <xf numFmtId="164" fontId="0" fillId="0" borderId="1" xfId="0" applyNumberFormat="1" applyBorder="1" applyAlignment="1">
      <alignment vertical="top"/>
    </xf>
    <xf numFmtId="2" fontId="0" fillId="0" borderId="1" xfId="0" applyNumberFormat="1" applyBorder="1" applyAlignment="1">
      <alignment vertical="top"/>
    </xf>
    <xf numFmtId="10" fontId="0" fillId="0" borderId="1" xfId="0" applyNumberFormat="1" applyBorder="1" applyAlignment="1">
      <alignment vertical="top"/>
    </xf>
    <xf numFmtId="165" fontId="0" fillId="0" borderId="1" xfId="0" applyNumberFormat="1" applyBorder="1" applyAlignment="1">
      <alignment vertical="top"/>
    </xf>
    <xf numFmtId="0" fontId="0" fillId="4" borderId="1" xfId="0" applyFill="1" applyBorder="1" applyAlignment="1">
      <alignment vertical="top" wrapText="1"/>
    </xf>
    <xf numFmtId="0" fontId="0" fillId="4" borderId="1" xfId="0" applyFill="1" applyBorder="1" applyAlignment="1">
      <alignment vertical="top"/>
    </xf>
    <xf numFmtId="164" fontId="0" fillId="4" borderId="1" xfId="0" applyNumberFormat="1" applyFill="1" applyBorder="1" applyAlignment="1">
      <alignment vertical="top"/>
    </xf>
    <xf numFmtId="2" fontId="0" fillId="4" borderId="1" xfId="0" applyNumberFormat="1" applyFill="1" applyBorder="1" applyAlignment="1">
      <alignment vertical="top"/>
    </xf>
    <xf numFmtId="10" fontId="0" fillId="4" borderId="1" xfId="0" applyNumberFormat="1" applyFill="1" applyBorder="1" applyAlignment="1">
      <alignment vertical="top"/>
    </xf>
    <xf numFmtId="165" fontId="0" fillId="4" borderId="1" xfId="0" applyNumberFormat="1" applyFill="1" applyBorder="1" applyAlignment="1">
      <alignment vertical="top"/>
    </xf>
    <xf numFmtId="0" fontId="4" fillId="5" borderId="0" xfId="0" applyFont="1" applyFill="1"/>
    <xf numFmtId="0" fontId="0" fillId="4" borderId="0" xfId="0" applyFill="1"/>
    <xf numFmtId="164" fontId="0" fillId="4" borderId="0" xfId="0" applyNumberFormat="1" applyFill="1"/>
    <xf numFmtId="0" fontId="5" fillId="5" borderId="1" xfId="0" applyFont="1" applyFill="1" applyBorder="1"/>
    <xf numFmtId="0" fontId="3" fillId="3" borderId="0" xfId="0" applyFont="1" applyFill="1" applyAlignment="1">
      <alignment wrapText="1"/>
    </xf>
    <xf numFmtId="0" fontId="6" fillId="0" borderId="0" xfId="1"/>
    <xf numFmtId="0" fontId="0" fillId="6" borderId="0" xfId="0" applyFill="1" applyAlignment="1">
      <alignment vertical="top" wrapText="1"/>
    </xf>
    <xf numFmtId="0" fontId="7" fillId="0" borderId="0" xfId="0" applyFont="1" applyFill="1"/>
    <xf numFmtId="0" fontId="0" fillId="0" borderId="1" xfId="0" applyBorder="1" applyAlignment="1">
      <alignment wrapText="1"/>
    </xf>
    <xf numFmtId="0" fontId="0" fillId="0" borderId="1" xfId="0" applyBorder="1" applyAlignment="1">
      <alignment horizontal="center" vertical="top" wrapText="1"/>
    </xf>
    <xf numFmtId="0" fontId="0" fillId="4" borderId="1" xfId="0" applyFill="1" applyBorder="1" applyAlignment="1">
      <alignment horizontal="center" vertical="top" wrapText="1"/>
    </xf>
    <xf numFmtId="0" fontId="0" fillId="0" borderId="0" xfId="0" applyAlignment="1"/>
    <xf numFmtId="0" fontId="0" fillId="0" borderId="0" xfId="0" applyAlignment="1">
      <alignment wrapText="1"/>
    </xf>
    <xf numFmtId="0" fontId="0" fillId="4" borderId="0" xfId="0" applyFill="1" applyAlignment="1">
      <alignment vertical="top" wrapText="1"/>
    </xf>
    <xf numFmtId="0" fontId="0" fillId="0" borderId="0" xfId="0"/>
    <xf numFmtId="0" fontId="2" fillId="0" borderId="0" xfId="0" applyFont="1"/>
    <xf numFmtId="0" fontId="0" fillId="6" borderId="0" xfId="0" applyFill="1" applyAlignment="1">
      <alignment vertical="top" wrapText="1"/>
    </xf>
    <xf numFmtId="0" fontId="3" fillId="2" borderId="0" xfId="0" applyFont="1" applyFill="1"/>
    <xf numFmtId="0" fontId="1" fillId="2" borderId="0" xfId="0" applyFont="1" applyFill="1"/>
    <xf numFmtId="0" fontId="4" fillId="7" borderId="0" xfId="0" applyFont="1" applyFill="1"/>
    <xf numFmtId="0" fontId="4" fillId="6"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loopnet.com/Listing/4711-N-15th-Ave-Phoenix-AZ/39907432/" TargetMode="External"/><Relationship Id="rId2" Type="http://schemas.openxmlformats.org/officeDocument/2006/relationships/hyperlink" Target="https://www.loopnet.com/Listing/2301-W-Hayward-Ave-Phoenix-AZ/41809073/" TargetMode="External"/><Relationship Id="rId1" Type="http://schemas.openxmlformats.org/officeDocument/2006/relationships/hyperlink" Target="https://www.loopnet.com/Listing/3044-3048-E-Beck-Rd-Phoenix-AZ/3849328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BG15"/>
  <sheetViews>
    <sheetView showGridLines="0" tabSelected="1" workbookViewId="0">
      <pane ySplit="4" topLeftCell="A5" activePane="bottomLeft" state="frozen"/>
      <selection pane="bottomLeft" activeCell="H3" sqref="H3"/>
    </sheetView>
  </sheetViews>
  <sheetFormatPr defaultRowHeight="15" x14ac:dyDescent="0.25"/>
  <cols>
    <col min="1" max="1" width="25" customWidth="1"/>
    <col min="2" max="2" width="12" customWidth="1"/>
    <col min="3" max="3" width="8" customWidth="1"/>
    <col min="4" max="4" width="9" customWidth="1"/>
    <col min="5" max="5" width="17" customWidth="1"/>
    <col min="6" max="6" width="9" customWidth="1"/>
    <col min="7" max="7" width="18" customWidth="1"/>
    <col min="8" max="8" width="15.5703125" customWidth="1"/>
    <col min="9" max="9" width="12" customWidth="1"/>
    <col min="10" max="10" width="15" customWidth="1"/>
    <col min="11" max="11" width="19.42578125" customWidth="1"/>
    <col min="12" max="12" width="22" customWidth="1"/>
    <col min="13" max="13" width="21" customWidth="1"/>
    <col min="14" max="14" width="53" customWidth="1"/>
  </cols>
  <sheetData>
    <row r="1" spans="1:59" ht="30" customHeight="1" x14ac:dyDescent="0.35">
      <c r="A1" s="32" t="s">
        <v>0</v>
      </c>
      <c r="B1" s="28"/>
      <c r="C1" s="28"/>
      <c r="D1" s="28"/>
      <c r="E1" s="28"/>
      <c r="F1" s="28"/>
      <c r="G1" s="28"/>
      <c r="H1" s="28"/>
      <c r="I1" s="28"/>
      <c r="J1" s="28"/>
      <c r="K1" s="28"/>
      <c r="L1" s="28"/>
      <c r="M1" s="28"/>
      <c r="N1" s="28"/>
    </row>
    <row r="2" spans="1:59" x14ac:dyDescent="0.25">
      <c r="A2" s="29" t="s">
        <v>1</v>
      </c>
      <c r="B2" s="28"/>
      <c r="C2" s="28"/>
      <c r="D2" s="28"/>
      <c r="E2" s="28"/>
      <c r="F2" s="28"/>
      <c r="G2" s="28"/>
      <c r="H2" s="28"/>
      <c r="I2" s="28"/>
      <c r="J2" s="28"/>
      <c r="K2" s="28"/>
      <c r="L2" s="28"/>
      <c r="M2" s="28"/>
      <c r="N2" s="28"/>
    </row>
    <row r="4" spans="1:59" ht="42" customHeight="1" x14ac:dyDescent="0.25">
      <c r="A4" s="1" t="s">
        <v>2</v>
      </c>
      <c r="B4" s="1" t="s">
        <v>3</v>
      </c>
      <c r="C4" s="1" t="s">
        <v>4</v>
      </c>
      <c r="D4" s="1" t="s">
        <v>5</v>
      </c>
      <c r="E4" s="1" t="s">
        <v>6</v>
      </c>
      <c r="F4" s="1" t="s">
        <v>7</v>
      </c>
      <c r="G4" s="1" t="s">
        <v>8</v>
      </c>
      <c r="H4" s="1" t="s">
        <v>77</v>
      </c>
      <c r="I4" s="1" t="s">
        <v>9</v>
      </c>
      <c r="J4" s="1" t="s">
        <v>10</v>
      </c>
      <c r="K4" s="1" t="s">
        <v>11</v>
      </c>
      <c r="L4" s="1" t="s">
        <v>12</v>
      </c>
      <c r="M4" s="1" t="s">
        <v>13</v>
      </c>
      <c r="N4" s="1" t="s">
        <v>14</v>
      </c>
    </row>
    <row r="5" spans="1:59" ht="48" customHeight="1" x14ac:dyDescent="0.25">
      <c r="A5" s="2" t="s">
        <v>15</v>
      </c>
      <c r="B5" s="3" t="s">
        <v>16</v>
      </c>
      <c r="C5" s="3" t="s">
        <v>17</v>
      </c>
      <c r="D5" s="3" t="s">
        <v>18</v>
      </c>
      <c r="E5" s="4">
        <v>1650000</v>
      </c>
      <c r="F5" s="3">
        <v>8</v>
      </c>
      <c r="G5" s="3">
        <v>8100</v>
      </c>
      <c r="H5" s="3"/>
      <c r="I5" s="3">
        <v>1983</v>
      </c>
      <c r="J5" s="5">
        <v>0.36</v>
      </c>
      <c r="K5" s="6"/>
      <c r="L5" s="4">
        <f>IFERROR(E5/F5,"")</f>
        <v>206250</v>
      </c>
      <c r="M5" s="7">
        <f>IFERROR(E5/G5,"")</f>
        <v>203.7037037037037</v>
      </c>
      <c r="N5" s="23" t="s">
        <v>19</v>
      </c>
    </row>
    <row r="6" spans="1:59" ht="48" customHeight="1" x14ac:dyDescent="0.25">
      <c r="A6" s="8" t="s">
        <v>20</v>
      </c>
      <c r="B6" s="9" t="s">
        <v>16</v>
      </c>
      <c r="C6" s="9" t="s">
        <v>17</v>
      </c>
      <c r="D6" s="9" t="s">
        <v>21</v>
      </c>
      <c r="E6" s="10">
        <v>839900</v>
      </c>
      <c r="F6" s="9">
        <v>3</v>
      </c>
      <c r="G6" s="9">
        <v>4570</v>
      </c>
      <c r="H6" s="9"/>
      <c r="I6" s="9">
        <v>1980</v>
      </c>
      <c r="J6" s="11">
        <v>0.82</v>
      </c>
      <c r="K6" s="12"/>
      <c r="L6" s="10">
        <f>IFERROR(E6/F6,"")</f>
        <v>279966.66666666669</v>
      </c>
      <c r="M6" s="13">
        <f>IFERROR(E6/G6,"")</f>
        <v>183.78555798687088</v>
      </c>
      <c r="N6" s="24" t="s">
        <v>22</v>
      </c>
    </row>
    <row r="7" spans="1:59" ht="48" customHeight="1" x14ac:dyDescent="0.25">
      <c r="A7" s="2" t="s">
        <v>23</v>
      </c>
      <c r="B7" s="3" t="s">
        <v>16</v>
      </c>
      <c r="C7" s="3" t="s">
        <v>17</v>
      </c>
      <c r="D7" s="3" t="s">
        <v>24</v>
      </c>
      <c r="E7" s="4">
        <v>850000</v>
      </c>
      <c r="F7" s="3">
        <v>3</v>
      </c>
      <c r="G7" s="3">
        <v>2034</v>
      </c>
      <c r="H7" s="3">
        <v>2020</v>
      </c>
      <c r="I7" s="3">
        <v>1957</v>
      </c>
      <c r="J7" s="5">
        <v>0.22</v>
      </c>
      <c r="K7" s="6">
        <v>3.4799999999999998E-2</v>
      </c>
      <c r="L7" s="4">
        <f>IFERROR(E7/F7,"")</f>
        <v>283333.33333333331</v>
      </c>
      <c r="M7" s="7">
        <f>IFERROR(E7/G7,"")</f>
        <v>417.89577187807276</v>
      </c>
      <c r="N7" s="23" t="s">
        <v>25</v>
      </c>
    </row>
    <row r="10" spans="1:59" x14ac:dyDescent="0.25">
      <c r="A10" s="31" t="s">
        <v>26</v>
      </c>
      <c r="B10" s="28"/>
      <c r="C10" s="28"/>
      <c r="E10" s="31" t="s">
        <v>27</v>
      </c>
      <c r="F10" s="28"/>
      <c r="G10" s="28"/>
      <c r="H10" s="28"/>
      <c r="I10" s="28"/>
      <c r="J10" s="28"/>
      <c r="K10" s="28"/>
      <c r="L10" s="28"/>
      <c r="M10" s="28"/>
      <c r="N10" s="28"/>
    </row>
    <row r="11" spans="1:59" ht="30" customHeight="1" x14ac:dyDescent="0.25">
      <c r="A11" s="14" t="s">
        <v>28</v>
      </c>
      <c r="B11" s="15">
        <f>COUNTA(A5:A7)</f>
        <v>3</v>
      </c>
      <c r="E11" s="30" t="s">
        <v>29</v>
      </c>
      <c r="F11" s="28"/>
      <c r="G11" s="28"/>
      <c r="H11" s="28"/>
      <c r="I11" s="28"/>
      <c r="J11" s="28"/>
      <c r="K11" s="28"/>
      <c r="L11" s="28"/>
      <c r="M11" s="28"/>
      <c r="N11" s="28"/>
    </row>
    <row r="12" spans="1:59" ht="30" customHeight="1" x14ac:dyDescent="0.25">
      <c r="A12" s="14" t="s">
        <v>30</v>
      </c>
      <c r="B12" s="15">
        <f>SUM(F5:F7)</f>
        <v>14</v>
      </c>
      <c r="E12" s="30" t="s">
        <v>31</v>
      </c>
      <c r="F12" s="28"/>
      <c r="G12" s="28"/>
      <c r="H12" s="28"/>
      <c r="I12" s="28"/>
      <c r="J12" s="28"/>
      <c r="K12" s="28"/>
      <c r="L12" s="28"/>
      <c r="M12" s="28"/>
      <c r="N12" s="28"/>
    </row>
    <row r="13" spans="1:59" ht="30" customHeight="1" x14ac:dyDescent="0.25">
      <c r="A13" s="14" t="s">
        <v>32</v>
      </c>
      <c r="B13" s="16">
        <f>MIN(L5:L7)</f>
        <v>206250</v>
      </c>
      <c r="E13" s="27" t="s">
        <v>33</v>
      </c>
      <c r="F13" s="28"/>
      <c r="G13" s="28"/>
      <c r="H13" s="28"/>
      <c r="I13" s="28"/>
      <c r="J13" s="28"/>
      <c r="K13" s="28"/>
      <c r="L13" s="28"/>
      <c r="M13" s="28"/>
      <c r="N13" s="28"/>
    </row>
    <row r="14" spans="1:59" ht="30" customHeight="1" x14ac:dyDescent="0.25">
      <c r="A14" s="14" t="s">
        <v>34</v>
      </c>
      <c r="B14" s="16">
        <f>MAX(L5:L7)</f>
        <v>283333.33333333331</v>
      </c>
      <c r="E14" s="27" t="s">
        <v>35</v>
      </c>
      <c r="F14" s="28"/>
      <c r="G14" s="28"/>
      <c r="H14" s="28"/>
      <c r="I14" s="28"/>
      <c r="J14" s="28"/>
      <c r="K14" s="28"/>
      <c r="L14" s="28"/>
      <c r="M14" s="28"/>
      <c r="N14" s="28"/>
    </row>
    <row r="15" spans="1:59" ht="30" customHeight="1" x14ac:dyDescent="0.25">
      <c r="E15" s="30" t="s">
        <v>78</v>
      </c>
      <c r="F15" s="28"/>
      <c r="G15" s="28"/>
      <c r="H15" s="28"/>
      <c r="I15" s="28"/>
      <c r="J15" s="28"/>
      <c r="K15" s="28"/>
      <c r="L15" s="28"/>
      <c r="M15" s="28"/>
      <c r="N15" s="20"/>
      <c r="O15" s="25"/>
      <c r="P15" s="25"/>
      <c r="Q15" s="25"/>
      <c r="R15" s="25"/>
      <c r="S15" s="25"/>
      <c r="T15" s="25"/>
      <c r="U15" s="25"/>
      <c r="V15" s="25"/>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row>
  </sheetData>
  <autoFilter ref="A4:N7"/>
  <mergeCells count="9">
    <mergeCell ref="E14:N14"/>
    <mergeCell ref="A2:N2"/>
    <mergeCell ref="E15:M15"/>
    <mergeCell ref="A10:C10"/>
    <mergeCell ref="A1:N1"/>
    <mergeCell ref="E11:N11"/>
    <mergeCell ref="E10:N10"/>
    <mergeCell ref="E12:N12"/>
    <mergeCell ref="E13:N13"/>
  </mergeCells>
  <pageMargins left="0.25" right="0.25" top="1" bottom="1" header="0.5" footer="0.5"/>
  <pageSetup scale="40" fitToHeight="0" orientation="portrait" r:id="rId1"/>
  <headerFooter>
    <oddFooter>&amp;C© 2026 Dilanka Jayananda. All rights reserved.</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6"/>
  <sheetViews>
    <sheetView showGridLines="0" workbookViewId="0">
      <selection activeCell="B16" sqref="B16"/>
    </sheetView>
  </sheetViews>
  <sheetFormatPr defaultRowHeight="15" x14ac:dyDescent="0.25"/>
  <cols>
    <col min="1" max="1" width="25" customWidth="1"/>
    <col min="2" max="2" width="115" customWidth="1"/>
  </cols>
  <sheetData>
    <row r="1" spans="1:2" ht="21" x14ac:dyDescent="0.35">
      <c r="A1" s="32" t="s">
        <v>36</v>
      </c>
      <c r="B1" s="28"/>
    </row>
    <row r="3" spans="1:2" ht="42" customHeight="1" x14ac:dyDescent="0.25">
      <c r="A3" s="17" t="s">
        <v>37</v>
      </c>
      <c r="B3" s="22" t="s">
        <v>38</v>
      </c>
    </row>
    <row r="4" spans="1:2" ht="42" customHeight="1" x14ac:dyDescent="0.25">
      <c r="A4" s="17" t="s">
        <v>39</v>
      </c>
      <c r="B4" s="22" t="s">
        <v>40</v>
      </c>
    </row>
    <row r="5" spans="1:2" ht="42" customHeight="1" x14ac:dyDescent="0.25">
      <c r="A5" s="17" t="s">
        <v>41</v>
      </c>
      <c r="B5" s="22" t="s">
        <v>42</v>
      </c>
    </row>
    <row r="6" spans="1:2" ht="42" customHeight="1" x14ac:dyDescent="0.25">
      <c r="A6" s="17" t="s">
        <v>43</v>
      </c>
      <c r="B6" s="22" t="s">
        <v>44</v>
      </c>
    </row>
    <row r="7" spans="1:2" ht="42" customHeight="1" x14ac:dyDescent="0.25">
      <c r="A7" s="17" t="s">
        <v>45</v>
      </c>
      <c r="B7" s="22" t="s">
        <v>46</v>
      </c>
    </row>
    <row r="8" spans="1:2" ht="42" customHeight="1" x14ac:dyDescent="0.25">
      <c r="A8" s="17" t="s">
        <v>47</v>
      </c>
      <c r="B8" s="22" t="s">
        <v>48</v>
      </c>
    </row>
    <row r="9" spans="1:2" ht="42" customHeight="1" x14ac:dyDescent="0.25">
      <c r="A9" s="17" t="s">
        <v>49</v>
      </c>
      <c r="B9" s="22" t="s">
        <v>50</v>
      </c>
    </row>
    <row r="10" spans="1:2" ht="42" customHeight="1" x14ac:dyDescent="0.25">
      <c r="A10" s="17" t="s">
        <v>51</v>
      </c>
      <c r="B10" s="22" t="s">
        <v>82</v>
      </c>
    </row>
    <row r="11" spans="1:2" ht="42" customHeight="1" x14ac:dyDescent="0.25">
      <c r="A11" s="17" t="s">
        <v>52</v>
      </c>
      <c r="B11" s="22" t="s">
        <v>53</v>
      </c>
    </row>
    <row r="16" spans="1:2" ht="409.5" x14ac:dyDescent="0.25">
      <c r="B16" s="26" t="s">
        <v>83</v>
      </c>
    </row>
  </sheetData>
  <mergeCells count="1">
    <mergeCell ref="A1:B1"/>
  </mergeCells>
  <pageMargins left="0.25" right="0.25" top="1" bottom="1" header="0.5" footer="0.5"/>
  <pageSetup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5"/>
  <sheetViews>
    <sheetView showGridLines="0" topLeftCell="B1" workbookViewId="0">
      <pane ySplit="3" topLeftCell="A4" activePane="bottomLeft" state="frozen"/>
      <selection pane="bottomLeft" activeCell="D6" sqref="D6"/>
    </sheetView>
  </sheetViews>
  <sheetFormatPr defaultRowHeight="15" x14ac:dyDescent="0.25"/>
  <cols>
    <col min="1" max="1" width="27" customWidth="1"/>
    <col min="2" max="2" width="16" customWidth="1"/>
    <col min="3" max="3" width="70" customWidth="1"/>
    <col min="4" max="4" width="48" customWidth="1"/>
    <col min="5" max="5" width="54" customWidth="1"/>
  </cols>
  <sheetData>
    <row r="1" spans="1:5" ht="21" x14ac:dyDescent="0.35">
      <c r="A1" s="32" t="s">
        <v>54</v>
      </c>
      <c r="B1" s="28"/>
      <c r="C1" s="28"/>
      <c r="D1" s="28"/>
      <c r="E1" s="28"/>
    </row>
    <row r="3" spans="1:5" x14ac:dyDescent="0.25">
      <c r="A3" s="18" t="s">
        <v>55</v>
      </c>
      <c r="B3" s="18" t="s">
        <v>56</v>
      </c>
      <c r="C3" s="18" t="s">
        <v>57</v>
      </c>
      <c r="D3" s="18" t="s">
        <v>58</v>
      </c>
      <c r="E3" s="18" t="s">
        <v>59</v>
      </c>
    </row>
    <row r="4" spans="1:5" ht="65.099999999999994" customHeight="1" x14ac:dyDescent="0.25">
      <c r="A4" s="8" t="s">
        <v>15</v>
      </c>
      <c r="B4" s="8" t="s">
        <v>60</v>
      </c>
      <c r="C4" s="19" t="s">
        <v>61</v>
      </c>
      <c r="D4" s="8" t="s">
        <v>62</v>
      </c>
      <c r="E4" s="8" t="s">
        <v>63</v>
      </c>
    </row>
    <row r="5" spans="1:5" ht="65.099999999999994" customHeight="1" x14ac:dyDescent="0.25">
      <c r="A5" s="2" t="s">
        <v>20</v>
      </c>
      <c r="B5" s="2" t="s">
        <v>60</v>
      </c>
      <c r="C5" s="19" t="s">
        <v>64</v>
      </c>
      <c r="D5" s="2" t="s">
        <v>65</v>
      </c>
      <c r="E5" s="2" t="s">
        <v>66</v>
      </c>
    </row>
    <row r="6" spans="1:5" ht="90" customHeight="1" x14ac:dyDescent="0.25">
      <c r="A6" s="8" t="s">
        <v>23</v>
      </c>
      <c r="B6" s="8" t="s">
        <v>60</v>
      </c>
      <c r="C6" s="19" t="s">
        <v>67</v>
      </c>
      <c r="D6" s="8" t="s">
        <v>81</v>
      </c>
      <c r="E6" s="8" t="s">
        <v>80</v>
      </c>
    </row>
    <row r="9" spans="1:5" x14ac:dyDescent="0.25">
      <c r="A9" s="31" t="s">
        <v>68</v>
      </c>
      <c r="B9" s="28"/>
      <c r="C9" s="28"/>
      <c r="D9" s="28"/>
      <c r="E9" s="28"/>
    </row>
    <row r="10" spans="1:5" x14ac:dyDescent="0.25">
      <c r="A10" s="28" t="s">
        <v>69</v>
      </c>
      <c r="B10" s="28"/>
      <c r="C10" s="28"/>
      <c r="D10" s="33" t="s">
        <v>70</v>
      </c>
      <c r="E10" s="28"/>
    </row>
    <row r="11" spans="1:5" x14ac:dyDescent="0.25">
      <c r="A11" s="28" t="s">
        <v>71</v>
      </c>
      <c r="B11" s="28"/>
      <c r="C11" s="28"/>
      <c r="D11" s="33" t="s">
        <v>70</v>
      </c>
      <c r="E11" s="28"/>
    </row>
    <row r="12" spans="1:5" x14ac:dyDescent="0.25">
      <c r="A12" s="28" t="s">
        <v>72</v>
      </c>
      <c r="B12" s="28"/>
      <c r="C12" s="28"/>
      <c r="D12" s="33" t="s">
        <v>70</v>
      </c>
      <c r="E12" s="28"/>
    </row>
    <row r="13" spans="1:5" x14ac:dyDescent="0.25">
      <c r="A13" s="28" t="s">
        <v>73</v>
      </c>
      <c r="B13" s="28"/>
      <c r="C13" s="28"/>
      <c r="D13" s="34" t="s">
        <v>74</v>
      </c>
      <c r="E13" s="28"/>
    </row>
    <row r="14" spans="1:5" x14ac:dyDescent="0.25">
      <c r="A14" s="28" t="s">
        <v>75</v>
      </c>
      <c r="B14" s="28"/>
      <c r="C14" s="28"/>
      <c r="D14" s="34" t="s">
        <v>74</v>
      </c>
      <c r="E14" s="28"/>
    </row>
    <row r="15" spans="1:5" x14ac:dyDescent="0.25">
      <c r="A15" s="28" t="s">
        <v>76</v>
      </c>
      <c r="B15" s="28"/>
      <c r="C15" s="28"/>
      <c r="D15" s="34" t="s">
        <v>79</v>
      </c>
      <c r="E15" s="28"/>
    </row>
  </sheetData>
  <mergeCells count="14">
    <mergeCell ref="A1:E1"/>
    <mergeCell ref="A12:C12"/>
    <mergeCell ref="A9:E9"/>
    <mergeCell ref="D12:E12"/>
    <mergeCell ref="A15:C15"/>
    <mergeCell ref="A10:C10"/>
    <mergeCell ref="A13:C13"/>
    <mergeCell ref="A11:C11"/>
    <mergeCell ref="D10:E10"/>
    <mergeCell ref="D15:E15"/>
    <mergeCell ref="D11:E11"/>
    <mergeCell ref="D13:E13"/>
    <mergeCell ref="A14:C14"/>
    <mergeCell ref="D14:E14"/>
  </mergeCells>
  <hyperlinks>
    <hyperlink ref="C4" r:id="rId1"/>
    <hyperlink ref="C5" r:id="rId2"/>
    <hyperlink ref="C6" r:id="rId3"/>
  </hyperlinks>
  <pageMargins left="0.25" right="0.25" top="1" bottom="1" header="0.5" footer="0.5"/>
  <pageSetup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Property Comparison</vt:lpstr>
      <vt:lpstr>Read Me</vt:lpstr>
      <vt:lpstr>Sources &amp; 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Dilanka Jayananda</cp:lastModifiedBy>
  <cp:lastPrinted>2026-10-17T15:50:57Z</cp:lastPrinted>
  <dcterms:created xsi:type="dcterms:W3CDTF">2026-10-13T13:50:08Z</dcterms:created>
  <dcterms:modified xsi:type="dcterms:W3CDTF">2026-10-18T12:52:12Z</dcterms:modified>
</cp:coreProperties>
</file>